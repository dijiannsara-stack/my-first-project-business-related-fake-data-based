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FE32F1F-835C-4D50-9591-DE1EF35362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mpany X" sheetId="1" r:id="rId1"/>
    <sheet name="Company X Income Sheet" sheetId="4" r:id="rId2"/>
    <sheet name="Company X Balance Sheet" sheetId="5" r:id="rId3"/>
    <sheet name="Company Y" sheetId="2" r:id="rId4"/>
    <sheet name="Company Y Income Sheet" sheetId="6" r:id="rId5"/>
    <sheet name="Company Y Balance Sheet " sheetId="7" r:id="rId6"/>
    <sheet name="Company Z" sheetId="3" r:id="rId7"/>
    <sheet name="Company Z Income Sheet " sheetId="8" r:id="rId8"/>
    <sheet name="Company Z Balance Sheet 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5" l="1"/>
  <c r="D18" i="5"/>
  <c r="D17" i="5"/>
  <c r="C18" i="5"/>
  <c r="C17" i="5"/>
  <c r="C16" i="5"/>
  <c r="B18" i="5"/>
  <c r="B17" i="5"/>
  <c r="B16" i="5"/>
  <c r="D19" i="7"/>
  <c r="C19" i="7"/>
  <c r="B19" i="7"/>
  <c r="D18" i="7"/>
  <c r="C18" i="7"/>
  <c r="B18" i="7"/>
  <c r="D17" i="7"/>
  <c r="C17" i="7"/>
  <c r="B17" i="7"/>
  <c r="C19" i="9"/>
  <c r="D19" i="9"/>
  <c r="B19" i="9"/>
  <c r="D18" i="9"/>
  <c r="C18" i="9"/>
  <c r="B18" i="9"/>
  <c r="D17" i="9"/>
  <c r="C17" i="9"/>
  <c r="B17" i="9"/>
  <c r="D16" i="9"/>
  <c r="C16" i="9"/>
  <c r="B16" i="9"/>
  <c r="D16" i="7"/>
  <c r="C16" i="7"/>
  <c r="B16" i="7"/>
  <c r="D15" i="5"/>
  <c r="C15" i="5"/>
  <c r="B15" i="5"/>
  <c r="D15" i="9"/>
  <c r="C15" i="9"/>
  <c r="B15" i="9"/>
  <c r="D15" i="7"/>
  <c r="C15" i="7"/>
  <c r="B15" i="7"/>
  <c r="D14" i="5"/>
  <c r="C14" i="5"/>
  <c r="B14" i="5"/>
  <c r="D14" i="9"/>
  <c r="C14" i="9"/>
  <c r="B14" i="9"/>
  <c r="D14" i="7"/>
  <c r="C14" i="7"/>
  <c r="B14" i="7"/>
  <c r="D13" i="5"/>
  <c r="C13" i="5"/>
  <c r="B13" i="5"/>
  <c r="D18" i="8"/>
  <c r="C18" i="8"/>
  <c r="B18" i="8"/>
  <c r="D19" i="6"/>
  <c r="C19" i="6"/>
  <c r="B19" i="6"/>
  <c r="D18" i="4"/>
  <c r="C18" i="4"/>
  <c r="B18" i="4"/>
  <c r="B17" i="8"/>
  <c r="C17" i="8"/>
  <c r="D17" i="8"/>
  <c r="D18" i="6"/>
  <c r="C18" i="6"/>
  <c r="B18" i="6"/>
  <c r="D17" i="4"/>
  <c r="C17" i="4"/>
  <c r="B17" i="4"/>
  <c r="D16" i="8"/>
  <c r="C16" i="8"/>
  <c r="B16" i="8"/>
  <c r="D17" i="6"/>
  <c r="C17" i="6"/>
  <c r="B17" i="6"/>
  <c r="D16" i="4"/>
  <c r="C16" i="4"/>
  <c r="B16" i="4"/>
  <c r="D15" i="8"/>
  <c r="C15" i="8"/>
  <c r="B15" i="8"/>
  <c r="D16" i="6"/>
  <c r="C16" i="6"/>
  <c r="B16" i="6"/>
  <c r="D15" i="4"/>
  <c r="C15" i="4"/>
  <c r="B15" i="4"/>
</calcChain>
</file>

<file path=xl/sharedStrings.xml><?xml version="1.0" encoding="utf-8"?>
<sst xmlns="http://schemas.openxmlformats.org/spreadsheetml/2006/main" count="195" uniqueCount="43">
  <si>
    <t>Sales/Revenue</t>
  </si>
  <si>
    <t>COGS</t>
  </si>
  <si>
    <t>Gross Profit</t>
  </si>
  <si>
    <t>Operating Expense</t>
  </si>
  <si>
    <t>Operating Profit</t>
  </si>
  <si>
    <t>Interest Revenue</t>
  </si>
  <si>
    <t>EBIT</t>
  </si>
  <si>
    <t>Interest Expense</t>
  </si>
  <si>
    <t>Tax</t>
  </si>
  <si>
    <t>Net Income</t>
  </si>
  <si>
    <t>Cash</t>
  </si>
  <si>
    <t>Accounts Receivable</t>
  </si>
  <si>
    <t>Inventory</t>
  </si>
  <si>
    <t>Fixed Assets</t>
  </si>
  <si>
    <t>Accounts Payable</t>
  </si>
  <si>
    <t>Long-Term Debt</t>
  </si>
  <si>
    <t>Common Stock</t>
  </si>
  <si>
    <t>Total Assets</t>
  </si>
  <si>
    <t>Total Equity &amp; Liabilities</t>
  </si>
  <si>
    <t>Year 0</t>
  </si>
  <si>
    <t>Year 1</t>
  </si>
  <si>
    <t>Year 2</t>
  </si>
  <si>
    <t>Balance Sheet</t>
  </si>
  <si>
    <t>Income Statement</t>
  </si>
  <si>
    <t>Company Z</t>
  </si>
  <si>
    <t>Company Y</t>
  </si>
  <si>
    <t>Company X</t>
  </si>
  <si>
    <t>NET PROFIT MARGIN</t>
  </si>
  <si>
    <t>Gross profit margin</t>
  </si>
  <si>
    <t>gross profit margin</t>
  </si>
  <si>
    <t xml:space="preserve">Gross prpfit margin </t>
  </si>
  <si>
    <t>operating profit margin</t>
  </si>
  <si>
    <t xml:space="preserve">operating profit margin </t>
  </si>
  <si>
    <t>Operating Profit Margin</t>
  </si>
  <si>
    <t xml:space="preserve">EBIT Margin </t>
  </si>
  <si>
    <t>Current ratio</t>
  </si>
  <si>
    <t>Debt-to-Equity Ratio</t>
  </si>
  <si>
    <t>Quick ratio</t>
  </si>
  <si>
    <t xml:space="preserve">Quick Ratio </t>
  </si>
  <si>
    <t>Quick Ratio</t>
  </si>
  <si>
    <t>Working Capital</t>
  </si>
  <si>
    <t>Debt-to-Assets Ratio</t>
  </si>
  <si>
    <t xml:space="preserve">proprietary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</si>
</sst>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0" fillId="0" borderId="0" xfId="1" applyFont="1" applyBorder="1"/>
    <xf numFmtId="44" fontId="0" fillId="0" borderId="2" xfId="1" applyFont="1" applyBorder="1"/>
    <xf numFmtId="44" fontId="0" fillId="0" borderId="0" xfId="1" applyFont="1"/>
    <xf numFmtId="44" fontId="0" fillId="0" borderId="1" xfId="1" applyFont="1" applyBorder="1"/>
    <xf numFmtId="44" fontId="0" fillId="0" borderId="3" xfId="1" applyFont="1" applyFill="1" applyBorder="1"/>
    <xf numFmtId="0" fontId="1" fillId="0" borderId="4" xfId="0" applyFont="1" applyBorder="1" applyAlignment="1">
      <alignment horizontal="center" vertical="top"/>
    </xf>
    <xf numFmtId="44" fontId="0" fillId="0" borderId="4" xfId="1" applyFont="1" applyBorder="1"/>
    <xf numFmtId="0" fontId="1" fillId="0" borderId="3" xfId="0" applyFont="1" applyBorder="1" applyAlignment="1">
      <alignment horizontal="center" vertical="top"/>
    </xf>
    <xf numFmtId="44" fontId="0" fillId="0" borderId="3" xfId="1" applyFont="1" applyBorder="1"/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2" applyFont="1"/>
    <xf numFmtId="44" fontId="0" fillId="0" borderId="0" xfId="0" applyNumberForma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50" zoomScaleNormal="150" workbookViewId="0">
      <selection activeCell="F23" sqref="F23"/>
    </sheetView>
  </sheetViews>
  <sheetFormatPr defaultColWidth="8.85546875" defaultRowHeight="15" x14ac:dyDescent="0.25"/>
  <cols>
    <col min="1" max="4" width="20.85546875" customWidth="1"/>
  </cols>
  <sheetData>
    <row r="1" spans="1:4" ht="21" x14ac:dyDescent="0.35">
      <c r="A1" s="16" t="s">
        <v>26</v>
      </c>
      <c r="B1" s="16"/>
      <c r="C1" s="16"/>
      <c r="D1" s="16"/>
    </row>
    <row r="2" spans="1:4" x14ac:dyDescent="0.25">
      <c r="C2" s="1"/>
    </row>
    <row r="3" spans="1:4" ht="15.75" thickBot="1" x14ac:dyDescent="0.3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25">
      <c r="A4" s="1" t="s">
        <v>0</v>
      </c>
      <c r="B4" s="4">
        <v>5027</v>
      </c>
      <c r="C4" s="4">
        <v>5220</v>
      </c>
      <c r="D4" s="4">
        <v>5133</v>
      </c>
    </row>
    <row r="5" spans="1:4" x14ac:dyDescent="0.25">
      <c r="A5" s="3" t="s">
        <v>1</v>
      </c>
      <c r="B5" s="5">
        <v>2764</v>
      </c>
      <c r="C5" s="5">
        <v>2875</v>
      </c>
      <c r="D5" s="5">
        <v>2830</v>
      </c>
    </row>
    <row r="6" spans="1:4" x14ac:dyDescent="0.25">
      <c r="A6" s="3" t="s">
        <v>2</v>
      </c>
      <c r="B6" s="5">
        <v>2263</v>
      </c>
      <c r="C6" s="5">
        <v>2345</v>
      </c>
      <c r="D6" s="5">
        <v>2303</v>
      </c>
    </row>
    <row r="7" spans="1:4" x14ac:dyDescent="0.25">
      <c r="A7" s="1" t="s">
        <v>3</v>
      </c>
      <c r="B7" s="6">
        <v>1156</v>
      </c>
      <c r="C7" s="6">
        <v>1204</v>
      </c>
      <c r="D7" s="6">
        <v>1188</v>
      </c>
    </row>
    <row r="8" spans="1:4" x14ac:dyDescent="0.25">
      <c r="A8" s="3" t="s">
        <v>4</v>
      </c>
      <c r="B8" s="5">
        <v>1107</v>
      </c>
      <c r="C8" s="5">
        <v>1141</v>
      </c>
      <c r="D8" s="5">
        <v>1115</v>
      </c>
    </row>
    <row r="9" spans="1:4" x14ac:dyDescent="0.25">
      <c r="A9" s="3" t="s">
        <v>5</v>
      </c>
      <c r="B9" s="5">
        <v>0</v>
      </c>
      <c r="C9" s="5">
        <v>0</v>
      </c>
      <c r="D9" s="5">
        <v>0</v>
      </c>
    </row>
    <row r="10" spans="1:4" x14ac:dyDescent="0.25">
      <c r="A10" s="1" t="s">
        <v>6</v>
      </c>
      <c r="B10" s="4">
        <v>1107</v>
      </c>
      <c r="C10" s="4">
        <v>1204</v>
      </c>
      <c r="D10" s="4">
        <v>1115</v>
      </c>
    </row>
    <row r="11" spans="1:4" x14ac:dyDescent="0.25">
      <c r="A11" s="1" t="s">
        <v>7</v>
      </c>
      <c r="B11" s="4">
        <v>178</v>
      </c>
      <c r="C11" s="4">
        <v>180</v>
      </c>
      <c r="D11" s="4">
        <v>179</v>
      </c>
    </row>
    <row r="12" spans="1:4" ht="15.75" thickBot="1" x14ac:dyDescent="0.3">
      <c r="A12" s="2" t="s">
        <v>8</v>
      </c>
      <c r="B12" s="7">
        <v>232</v>
      </c>
      <c r="C12" s="7">
        <v>239</v>
      </c>
      <c r="D12" s="7">
        <v>234</v>
      </c>
    </row>
    <row r="13" spans="1:4" ht="15.75" thickTop="1" x14ac:dyDescent="0.25">
      <c r="A13" s="1" t="s">
        <v>9</v>
      </c>
      <c r="B13" s="6">
        <v>697</v>
      </c>
      <c r="C13" s="6">
        <v>722</v>
      </c>
      <c r="D13" s="6">
        <v>702</v>
      </c>
    </row>
    <row r="14" spans="1:4" x14ac:dyDescent="0.25">
      <c r="A14" s="1"/>
      <c r="B14" s="6"/>
      <c r="C14" s="6"/>
      <c r="D14" s="6"/>
    </row>
    <row r="15" spans="1:4" x14ac:dyDescent="0.25">
      <c r="A15" s="1"/>
      <c r="C15" s="1"/>
    </row>
    <row r="16" spans="1:4" ht="15.75" thickBot="1" x14ac:dyDescent="0.3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25">
      <c r="A17" s="1" t="s">
        <v>10</v>
      </c>
      <c r="B17" s="6">
        <v>905</v>
      </c>
      <c r="C17" s="6">
        <v>950</v>
      </c>
      <c r="D17" s="6">
        <v>955</v>
      </c>
    </row>
    <row r="18" spans="1:4" x14ac:dyDescent="0.25">
      <c r="A18" s="1" t="s">
        <v>11</v>
      </c>
      <c r="B18" s="6">
        <v>500</v>
      </c>
      <c r="C18" s="6">
        <v>530</v>
      </c>
      <c r="D18" s="6">
        <v>515</v>
      </c>
    </row>
    <row r="19" spans="1:4" x14ac:dyDescent="0.25">
      <c r="A19" s="1" t="s">
        <v>12</v>
      </c>
      <c r="B19" s="4">
        <v>800</v>
      </c>
      <c r="C19" s="4">
        <v>850</v>
      </c>
      <c r="D19" s="4">
        <v>870</v>
      </c>
    </row>
    <row r="20" spans="1:4" ht="15.75" thickBot="1" x14ac:dyDescent="0.3">
      <c r="A20" s="2" t="s">
        <v>13</v>
      </c>
      <c r="B20" s="8">
        <v>2500</v>
      </c>
      <c r="C20" s="8">
        <v>2600</v>
      </c>
      <c r="D20" s="8">
        <v>2650</v>
      </c>
    </row>
    <row r="21" spans="1:4" ht="15.75" thickTop="1" x14ac:dyDescent="0.25">
      <c r="A21" s="1" t="s">
        <v>17</v>
      </c>
      <c r="B21" s="6">
        <v>4725</v>
      </c>
      <c r="C21" s="6">
        <v>4930</v>
      </c>
      <c r="D21" s="6">
        <v>5020</v>
      </c>
    </row>
    <row r="22" spans="1:4" x14ac:dyDescent="0.25">
      <c r="A22" s="1"/>
      <c r="B22" s="6"/>
      <c r="C22" s="6"/>
      <c r="D22" s="6"/>
    </row>
    <row r="23" spans="1:4" x14ac:dyDescent="0.25">
      <c r="A23" s="1" t="s">
        <v>14</v>
      </c>
      <c r="B23" s="6">
        <v>600</v>
      </c>
      <c r="C23" s="6">
        <v>620</v>
      </c>
      <c r="D23" s="6">
        <v>620</v>
      </c>
    </row>
    <row r="24" spans="1:4" x14ac:dyDescent="0.25">
      <c r="A24" s="1" t="s">
        <v>15</v>
      </c>
      <c r="B24" s="6">
        <v>1000</v>
      </c>
      <c r="C24" s="6">
        <v>1050</v>
      </c>
      <c r="D24" s="6">
        <v>1070</v>
      </c>
    </row>
    <row r="25" spans="1:4" ht="15.75" thickBot="1" x14ac:dyDescent="0.3">
      <c r="A25" s="2" t="s">
        <v>16</v>
      </c>
      <c r="B25" s="7">
        <v>3125</v>
      </c>
      <c r="C25" s="7">
        <v>3260</v>
      </c>
      <c r="D25" s="7">
        <v>3330</v>
      </c>
    </row>
    <row r="26" spans="1:4" ht="15.75" thickTop="1" x14ac:dyDescent="0.25">
      <c r="A26" s="1" t="s">
        <v>18</v>
      </c>
      <c r="B26" s="6">
        <v>4725</v>
      </c>
      <c r="C26" s="6">
        <v>4930</v>
      </c>
      <c r="D26" s="6">
        <v>5020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6CAC-714E-4851-BDE7-92CD949A38D7}">
  <dimension ref="A1:H18"/>
  <sheetViews>
    <sheetView workbookViewId="0">
      <selection activeCell="H17" sqref="H17"/>
    </sheetView>
  </sheetViews>
  <sheetFormatPr defaultRowHeight="15" x14ac:dyDescent="0.25"/>
  <cols>
    <col min="1" max="1" width="27" customWidth="1"/>
    <col min="2" max="2" width="18.85546875" customWidth="1"/>
    <col min="3" max="3" width="27.28515625" customWidth="1"/>
    <col min="4" max="4" width="27.7109375" customWidth="1"/>
  </cols>
  <sheetData>
    <row r="1" spans="1:8" ht="21" x14ac:dyDescent="0.35">
      <c r="E1" s="16"/>
      <c r="F1" s="16"/>
      <c r="G1" s="16"/>
      <c r="H1" s="16"/>
    </row>
    <row r="3" spans="1:8" ht="15.75" thickBot="1" x14ac:dyDescent="0.3">
      <c r="A3" s="15" t="s">
        <v>23</v>
      </c>
      <c r="B3" s="13" t="s">
        <v>19</v>
      </c>
      <c r="C3" s="13" t="s">
        <v>20</v>
      </c>
      <c r="D3" s="13" t="s">
        <v>21</v>
      </c>
    </row>
    <row r="4" spans="1:8" x14ac:dyDescent="0.25">
      <c r="A4" s="1" t="s">
        <v>0</v>
      </c>
      <c r="B4" s="4">
        <v>5027</v>
      </c>
      <c r="C4" s="4">
        <v>5220</v>
      </c>
      <c r="D4" s="4">
        <v>5133</v>
      </c>
    </row>
    <row r="5" spans="1:8" x14ac:dyDescent="0.25">
      <c r="A5" s="3" t="s">
        <v>1</v>
      </c>
      <c r="B5" s="5">
        <v>2764</v>
      </c>
      <c r="C5" s="5">
        <v>2875</v>
      </c>
      <c r="D5" s="5">
        <v>2830</v>
      </c>
    </row>
    <row r="6" spans="1:8" x14ac:dyDescent="0.25">
      <c r="A6" s="3" t="s">
        <v>2</v>
      </c>
      <c r="B6" s="5">
        <v>2263</v>
      </c>
      <c r="C6" s="5">
        <v>2345</v>
      </c>
      <c r="D6" s="5">
        <v>2303</v>
      </c>
    </row>
    <row r="7" spans="1:8" x14ac:dyDescent="0.25">
      <c r="A7" s="1" t="s">
        <v>3</v>
      </c>
      <c r="B7" s="6">
        <v>1156</v>
      </c>
      <c r="C7" s="6">
        <v>1204</v>
      </c>
      <c r="D7" s="6">
        <v>1188</v>
      </c>
    </row>
    <row r="8" spans="1:8" x14ac:dyDescent="0.25">
      <c r="A8" s="3" t="s">
        <v>4</v>
      </c>
      <c r="B8" s="5">
        <v>1107</v>
      </c>
      <c r="C8" s="5">
        <v>1141</v>
      </c>
      <c r="D8" s="5">
        <v>1115</v>
      </c>
    </row>
    <row r="9" spans="1:8" x14ac:dyDescent="0.25">
      <c r="A9" s="3" t="s">
        <v>5</v>
      </c>
      <c r="B9" s="5">
        <v>0</v>
      </c>
      <c r="C9" s="5">
        <v>0</v>
      </c>
      <c r="D9" s="5">
        <v>0</v>
      </c>
    </row>
    <row r="10" spans="1:8" x14ac:dyDescent="0.25">
      <c r="A10" s="1" t="s">
        <v>6</v>
      </c>
      <c r="B10" s="4">
        <v>1107</v>
      </c>
      <c r="C10" s="4">
        <v>1204</v>
      </c>
      <c r="D10" s="4">
        <v>1115</v>
      </c>
    </row>
    <row r="11" spans="1:8" x14ac:dyDescent="0.25">
      <c r="A11" s="1" t="s">
        <v>7</v>
      </c>
      <c r="B11" s="4">
        <v>178</v>
      </c>
      <c r="C11" s="4">
        <v>180</v>
      </c>
      <c r="D11" s="4">
        <v>179</v>
      </c>
    </row>
    <row r="12" spans="1:8" ht="15.75" thickBot="1" x14ac:dyDescent="0.3">
      <c r="A12" s="2" t="s">
        <v>8</v>
      </c>
      <c r="B12" s="7">
        <v>232</v>
      </c>
      <c r="C12" s="7">
        <v>239</v>
      </c>
      <c r="D12" s="7">
        <v>234</v>
      </c>
    </row>
    <row r="13" spans="1:8" ht="15.75" thickTop="1" x14ac:dyDescent="0.25">
      <c r="A13" s="1" t="s">
        <v>9</v>
      </c>
      <c r="B13" s="6">
        <v>697</v>
      </c>
      <c r="C13" s="6">
        <v>722</v>
      </c>
      <c r="D13" s="6">
        <v>702</v>
      </c>
    </row>
    <row r="15" spans="1:8" x14ac:dyDescent="0.25">
      <c r="A15" s="1" t="s">
        <v>27</v>
      </c>
      <c r="B15" s="17">
        <f>B13/B4</f>
        <v>0.13865128307141436</v>
      </c>
      <c r="C15" s="17">
        <f>C13/C4</f>
        <v>0.13831417624521072</v>
      </c>
      <c r="D15" s="17">
        <f>D13/D4</f>
        <v>0.13676212741087085</v>
      </c>
    </row>
    <row r="16" spans="1:8" x14ac:dyDescent="0.25">
      <c r="A16" s="1" t="s">
        <v>28</v>
      </c>
      <c r="B16" s="17">
        <f>B6/B4</f>
        <v>0.45016908693057489</v>
      </c>
      <c r="C16" s="17">
        <f>C6/C4</f>
        <v>0.4492337164750958</v>
      </c>
      <c r="D16" s="19">
        <f>D6/D4</f>
        <v>0.4486654977595948</v>
      </c>
    </row>
    <row r="17" spans="1:4" x14ac:dyDescent="0.25">
      <c r="A17" s="1" t="s">
        <v>31</v>
      </c>
      <c r="B17" s="19">
        <f>B8/B4</f>
        <v>0.22021086134871692</v>
      </c>
      <c r="C17" s="19">
        <f>C8/C4</f>
        <v>0.2185823754789272</v>
      </c>
      <c r="D17" s="19">
        <f>D8/D4</f>
        <v>0.21722189752581336</v>
      </c>
    </row>
    <row r="18" spans="1:4" x14ac:dyDescent="0.25">
      <c r="A18" s="1" t="s">
        <v>34</v>
      </c>
      <c r="B18" s="19">
        <f>B10/B4</f>
        <v>0.22021086134871692</v>
      </c>
      <c r="C18" s="19">
        <f>C10/C4</f>
        <v>0.23065134099616857</v>
      </c>
      <c r="D18" s="19">
        <f>D10/D4</f>
        <v>0.21722189752581336</v>
      </c>
    </row>
  </sheetData>
  <mergeCells count="1"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5A25-7A7A-4C68-BB01-009A8D67F055}">
  <dimension ref="A1:D19"/>
  <sheetViews>
    <sheetView workbookViewId="0">
      <selection activeCell="A15" sqref="A14:D15"/>
    </sheetView>
  </sheetViews>
  <sheetFormatPr defaultRowHeight="15" x14ac:dyDescent="0.25"/>
  <cols>
    <col min="1" max="1" width="25.42578125" customWidth="1"/>
    <col min="2" max="2" width="26.42578125" customWidth="1"/>
    <col min="3" max="3" width="27.5703125" customWidth="1"/>
    <col min="4" max="4" width="28.5703125" customWidth="1"/>
  </cols>
  <sheetData>
    <row r="1" spans="1:4" ht="15.75" thickBot="1" x14ac:dyDescent="0.3">
      <c r="A1" s="14" t="s">
        <v>22</v>
      </c>
      <c r="B1" s="13" t="s">
        <v>19</v>
      </c>
      <c r="C1" s="13" t="s">
        <v>20</v>
      </c>
      <c r="D1" s="13" t="s">
        <v>21</v>
      </c>
    </row>
    <row r="2" spans="1:4" x14ac:dyDescent="0.25">
      <c r="A2" s="1" t="s">
        <v>10</v>
      </c>
      <c r="B2" s="6">
        <v>905</v>
      </c>
      <c r="C2" s="6">
        <v>950</v>
      </c>
      <c r="D2" s="6">
        <v>955</v>
      </c>
    </row>
    <row r="3" spans="1:4" x14ac:dyDescent="0.25">
      <c r="A3" s="1" t="s">
        <v>11</v>
      </c>
      <c r="B3" s="6">
        <v>500</v>
      </c>
      <c r="C3" s="6">
        <v>530</v>
      </c>
      <c r="D3" s="6">
        <v>515</v>
      </c>
    </row>
    <row r="4" spans="1:4" x14ac:dyDescent="0.25">
      <c r="A4" s="1" t="s">
        <v>12</v>
      </c>
      <c r="B4" s="4">
        <v>800</v>
      </c>
      <c r="C4" s="4">
        <v>850</v>
      </c>
      <c r="D4" s="4">
        <v>870</v>
      </c>
    </row>
    <row r="5" spans="1:4" ht="15.75" thickBot="1" x14ac:dyDescent="0.3">
      <c r="A5" s="2" t="s">
        <v>13</v>
      </c>
      <c r="B5" s="8">
        <v>2500</v>
      </c>
      <c r="C5" s="8">
        <v>2600</v>
      </c>
      <c r="D5" s="8">
        <v>2650</v>
      </c>
    </row>
    <row r="6" spans="1:4" ht="15.75" thickTop="1" x14ac:dyDescent="0.25">
      <c r="A6" s="1" t="s">
        <v>17</v>
      </c>
      <c r="B6" s="6">
        <v>4725</v>
      </c>
      <c r="C6" s="6">
        <v>4930</v>
      </c>
      <c r="D6" s="6">
        <v>5020</v>
      </c>
    </row>
    <row r="7" spans="1:4" x14ac:dyDescent="0.25">
      <c r="A7" s="1"/>
      <c r="B7" s="6"/>
      <c r="C7" s="6"/>
      <c r="D7" s="6"/>
    </row>
    <row r="8" spans="1:4" x14ac:dyDescent="0.25">
      <c r="A8" s="1" t="s">
        <v>14</v>
      </c>
      <c r="B8" s="6">
        <v>600</v>
      </c>
      <c r="C8" s="6">
        <v>620</v>
      </c>
      <c r="D8" s="6">
        <v>620</v>
      </c>
    </row>
    <row r="9" spans="1:4" x14ac:dyDescent="0.25">
      <c r="A9" s="1" t="s">
        <v>15</v>
      </c>
      <c r="B9" s="6">
        <v>1000</v>
      </c>
      <c r="C9" s="6">
        <v>1050</v>
      </c>
      <c r="D9" s="6">
        <v>1070</v>
      </c>
    </row>
    <row r="10" spans="1:4" ht="15.75" thickBot="1" x14ac:dyDescent="0.3">
      <c r="A10" s="2" t="s">
        <v>16</v>
      </c>
      <c r="B10" s="7">
        <v>3125</v>
      </c>
      <c r="C10" s="7">
        <v>3260</v>
      </c>
      <c r="D10" s="7">
        <v>3330</v>
      </c>
    </row>
    <row r="11" spans="1:4" ht="15.75" thickTop="1" x14ac:dyDescent="0.25">
      <c r="A11" s="1" t="s">
        <v>18</v>
      </c>
      <c r="B11" s="6">
        <v>4725</v>
      </c>
      <c r="C11" s="6">
        <v>4930</v>
      </c>
      <c r="D11" s="6">
        <v>5020</v>
      </c>
    </row>
    <row r="13" spans="1:4" x14ac:dyDescent="0.25">
      <c r="A13" s="1" t="s">
        <v>35</v>
      </c>
      <c r="B13" s="18">
        <f>B2+B3+B4/B8</f>
        <v>1406.3333333333333</v>
      </c>
      <c r="C13" s="18">
        <f>C2+C3+C4/C8</f>
        <v>1481.3709677419354</v>
      </c>
      <c r="D13" s="18">
        <f>D2+D3+D4/D8</f>
        <v>1471.4032258064517</v>
      </c>
    </row>
    <row r="14" spans="1:4" x14ac:dyDescent="0.25">
      <c r="A14" s="1" t="s">
        <v>36</v>
      </c>
      <c r="B14" s="19">
        <f>B9/B10</f>
        <v>0.32</v>
      </c>
      <c r="C14" s="19">
        <f>C9/C10</f>
        <v>0.32208588957055212</v>
      </c>
      <c r="D14" s="19">
        <f>D9/D10</f>
        <v>0.3213213213213213</v>
      </c>
    </row>
    <row r="15" spans="1:4" x14ac:dyDescent="0.25">
      <c r="A15" s="1" t="s">
        <v>37</v>
      </c>
      <c r="B15" s="18">
        <f>B2+B3/B8</f>
        <v>905.83333333333337</v>
      </c>
      <c r="C15" s="18">
        <f>C2+C3/C8</f>
        <v>950.85483870967744</v>
      </c>
      <c r="D15" s="18">
        <f>D2+D3/D8</f>
        <v>955.83064516129036</v>
      </c>
    </row>
    <row r="16" spans="1:4" x14ac:dyDescent="0.25">
      <c r="A16" s="1" t="s">
        <v>40</v>
      </c>
      <c r="B16" s="18">
        <f>B2+B3+B4-B8</f>
        <v>1605</v>
      </c>
      <c r="C16" s="18">
        <f>C2+C3+C4-C8</f>
        <v>1710</v>
      </c>
      <c r="D16" s="18">
        <f>D2+D3+D4-D8</f>
        <v>1720</v>
      </c>
    </row>
    <row r="17" spans="1:4" x14ac:dyDescent="0.25">
      <c r="A17" s="1" t="s">
        <v>41</v>
      </c>
      <c r="B17" s="19">
        <f>B9/B6</f>
        <v>0.21164021164021163</v>
      </c>
      <c r="C17" s="19">
        <f>C9/C6</f>
        <v>0.2129817444219067</v>
      </c>
      <c r="D17" s="19">
        <f>D9/D6</f>
        <v>0.21314741035856574</v>
      </c>
    </row>
    <row r="18" spans="1:4" x14ac:dyDescent="0.25">
      <c r="A18" s="1" t="s">
        <v>42</v>
      </c>
      <c r="B18" s="19">
        <f>B10/B6</f>
        <v>0.66137566137566139</v>
      </c>
      <c r="C18" s="19">
        <f>C10/C6</f>
        <v>0.66125760649087217</v>
      </c>
      <c r="D18" s="19">
        <f>D10/D6</f>
        <v>0.6633466135458167</v>
      </c>
    </row>
    <row r="19" spans="1:4" x14ac:dyDescent="0.25">
      <c r="A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opLeftCell="A21" zoomScale="150" zoomScaleNormal="150" workbookViewId="0">
      <selection activeCell="A16" sqref="A16:D27"/>
    </sheetView>
  </sheetViews>
  <sheetFormatPr defaultColWidth="8.85546875" defaultRowHeight="15" x14ac:dyDescent="0.25"/>
  <cols>
    <col min="1" max="4" width="20.85546875" customWidth="1"/>
  </cols>
  <sheetData>
    <row r="1" spans="1:4" ht="21" x14ac:dyDescent="0.35">
      <c r="A1" s="16" t="s">
        <v>25</v>
      </c>
      <c r="B1" s="16"/>
      <c r="C1" s="16"/>
      <c r="D1" s="16"/>
    </row>
    <row r="2" spans="1:4" x14ac:dyDescent="0.25">
      <c r="C2" s="1"/>
    </row>
    <row r="3" spans="1:4" ht="15.75" thickBot="1" x14ac:dyDescent="0.3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25">
      <c r="A4" s="1" t="s">
        <v>0</v>
      </c>
      <c r="B4" s="6">
        <v>7132</v>
      </c>
      <c r="C4" s="6">
        <v>7564</v>
      </c>
      <c r="D4" s="6">
        <v>7935</v>
      </c>
    </row>
    <row r="5" spans="1:4" x14ac:dyDescent="0.25">
      <c r="A5" s="1" t="s">
        <v>1</v>
      </c>
      <c r="B5" s="6">
        <v>3918</v>
      </c>
      <c r="C5" s="6">
        <v>4115</v>
      </c>
      <c r="D5" s="6">
        <v>4284</v>
      </c>
    </row>
    <row r="6" spans="1:4" x14ac:dyDescent="0.25">
      <c r="A6" s="9" t="s">
        <v>2</v>
      </c>
      <c r="B6" s="10">
        <v>3214</v>
      </c>
      <c r="C6" s="10">
        <v>3449</v>
      </c>
      <c r="D6" s="10">
        <v>3651</v>
      </c>
    </row>
    <row r="7" spans="1:4" x14ac:dyDescent="0.25">
      <c r="A7" s="1" t="s">
        <v>3</v>
      </c>
      <c r="B7" s="6">
        <v>1783</v>
      </c>
      <c r="C7" s="6">
        <v>1905</v>
      </c>
      <c r="D7" s="6">
        <v>1988</v>
      </c>
    </row>
    <row r="8" spans="1:4" x14ac:dyDescent="0.25">
      <c r="A8" s="1" t="s">
        <v>4</v>
      </c>
      <c r="B8" s="6">
        <v>1431</v>
      </c>
      <c r="C8" s="6">
        <v>1544</v>
      </c>
      <c r="D8" s="6">
        <v>1663</v>
      </c>
    </row>
    <row r="9" spans="1:4" x14ac:dyDescent="0.25">
      <c r="A9" s="9" t="s">
        <v>5</v>
      </c>
      <c r="B9" s="10">
        <v>0</v>
      </c>
      <c r="C9" s="10">
        <v>0</v>
      </c>
      <c r="D9" s="10">
        <v>0</v>
      </c>
    </row>
    <row r="10" spans="1:4" x14ac:dyDescent="0.25">
      <c r="A10" s="1" t="s">
        <v>6</v>
      </c>
      <c r="B10" s="6">
        <v>1431</v>
      </c>
      <c r="C10" s="6">
        <v>1544</v>
      </c>
      <c r="D10" s="6">
        <v>1663</v>
      </c>
    </row>
    <row r="11" spans="1:4" x14ac:dyDescent="0.25">
      <c r="A11" s="1" t="s">
        <v>7</v>
      </c>
      <c r="B11" s="6">
        <v>188</v>
      </c>
      <c r="C11" s="6">
        <v>192</v>
      </c>
      <c r="D11" s="6">
        <v>194</v>
      </c>
    </row>
    <row r="12" spans="1:4" ht="15.75" thickBot="1" x14ac:dyDescent="0.3">
      <c r="A12" s="11" t="s">
        <v>8</v>
      </c>
      <c r="B12" s="12">
        <v>301</v>
      </c>
      <c r="C12" s="12">
        <v>324</v>
      </c>
      <c r="D12" s="12">
        <v>349</v>
      </c>
    </row>
    <row r="13" spans="1:4" ht="15.75" thickTop="1" x14ac:dyDescent="0.25">
      <c r="A13" s="1" t="s">
        <v>9</v>
      </c>
      <c r="B13" s="6">
        <v>942</v>
      </c>
      <c r="C13" s="6">
        <v>1028</v>
      </c>
      <c r="D13" s="6">
        <v>1120</v>
      </c>
    </row>
    <row r="14" spans="1:4" x14ac:dyDescent="0.25">
      <c r="A14" s="1"/>
      <c r="B14" s="6"/>
      <c r="C14" s="6"/>
      <c r="D14" s="6"/>
    </row>
    <row r="15" spans="1:4" x14ac:dyDescent="0.25">
      <c r="A15" s="1"/>
      <c r="C15" s="1"/>
    </row>
    <row r="16" spans="1:4" ht="15.75" thickBot="1" x14ac:dyDescent="0.3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25">
      <c r="A17" s="1" t="s">
        <v>10</v>
      </c>
      <c r="B17" s="4">
        <v>1200</v>
      </c>
      <c r="C17" s="4">
        <v>1100</v>
      </c>
      <c r="D17" s="4">
        <v>1050</v>
      </c>
    </row>
    <row r="18" spans="1:4" x14ac:dyDescent="0.25">
      <c r="A18" s="1" t="s">
        <v>11</v>
      </c>
      <c r="B18" s="4">
        <v>750</v>
      </c>
      <c r="C18" s="4">
        <v>810</v>
      </c>
      <c r="D18" s="4">
        <v>860</v>
      </c>
    </row>
    <row r="19" spans="1:4" x14ac:dyDescent="0.25">
      <c r="A19" s="1" t="s">
        <v>12</v>
      </c>
      <c r="B19" s="4">
        <v>1100</v>
      </c>
      <c r="C19" s="4">
        <v>1180</v>
      </c>
      <c r="D19" s="4">
        <v>1250</v>
      </c>
    </row>
    <row r="20" spans="1:4" ht="15.75" thickBot="1" x14ac:dyDescent="0.3">
      <c r="A20" s="11" t="s">
        <v>13</v>
      </c>
      <c r="B20" s="12">
        <v>3400</v>
      </c>
      <c r="C20" s="12">
        <v>3550</v>
      </c>
      <c r="D20" s="12">
        <v>3700</v>
      </c>
    </row>
    <row r="21" spans="1:4" ht="15.75" thickTop="1" x14ac:dyDescent="0.25">
      <c r="A21" s="1" t="s">
        <v>17</v>
      </c>
      <c r="B21" s="6">
        <v>6450</v>
      </c>
      <c r="C21" s="6">
        <v>6640</v>
      </c>
      <c r="D21" s="6">
        <v>5020</v>
      </c>
    </row>
    <row r="22" spans="1:4" x14ac:dyDescent="0.25">
      <c r="A22" s="1"/>
      <c r="B22" s="6"/>
      <c r="C22" s="6"/>
      <c r="D22" s="6"/>
    </row>
    <row r="23" spans="1:4" x14ac:dyDescent="0.25">
      <c r="A23" s="1" t="s">
        <v>14</v>
      </c>
      <c r="B23" s="4">
        <v>900</v>
      </c>
      <c r="C23" s="4">
        <v>950</v>
      </c>
      <c r="D23" s="4">
        <v>980</v>
      </c>
    </row>
    <row r="24" spans="1:4" x14ac:dyDescent="0.25">
      <c r="A24" s="1" t="s">
        <v>15</v>
      </c>
      <c r="B24" s="4">
        <v>3000</v>
      </c>
      <c r="C24" s="4">
        <v>3200</v>
      </c>
      <c r="D24" s="4">
        <v>3400</v>
      </c>
    </row>
    <row r="25" spans="1:4" ht="15.75" thickBot="1" x14ac:dyDescent="0.3">
      <c r="A25" s="11" t="s">
        <v>16</v>
      </c>
      <c r="B25" s="12">
        <v>2550</v>
      </c>
      <c r="C25" s="12">
        <v>2490</v>
      </c>
      <c r="D25" s="12">
        <v>2480</v>
      </c>
    </row>
    <row r="26" spans="1:4" ht="15.75" thickTop="1" x14ac:dyDescent="0.25">
      <c r="A26" s="1" t="s">
        <v>18</v>
      </c>
      <c r="B26" s="6">
        <v>6450</v>
      </c>
      <c r="C26" s="6">
        <v>6640</v>
      </c>
      <c r="D26" s="6">
        <v>5020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3636-CE59-4DF5-9481-46C61990C4B3}">
  <dimension ref="A1:D19"/>
  <sheetViews>
    <sheetView workbookViewId="0">
      <selection activeCell="J5" sqref="J5"/>
    </sheetView>
  </sheetViews>
  <sheetFormatPr defaultRowHeight="15" x14ac:dyDescent="0.25"/>
  <cols>
    <col min="1" max="1" width="22.140625" customWidth="1"/>
    <col min="2" max="2" width="31" customWidth="1"/>
    <col min="3" max="3" width="32.85546875" customWidth="1"/>
    <col min="4" max="4" width="29.140625" customWidth="1"/>
  </cols>
  <sheetData>
    <row r="1" spans="1:4" ht="15.75" thickBot="1" x14ac:dyDescent="0.3">
      <c r="A1" s="15" t="s">
        <v>23</v>
      </c>
      <c r="B1" s="13" t="s">
        <v>19</v>
      </c>
      <c r="C1" s="13" t="s">
        <v>20</v>
      </c>
      <c r="D1" s="13" t="s">
        <v>21</v>
      </c>
    </row>
    <row r="2" spans="1:4" x14ac:dyDescent="0.25">
      <c r="A2" s="1" t="s">
        <v>0</v>
      </c>
      <c r="B2" s="6">
        <v>7132</v>
      </c>
      <c r="C2" s="6">
        <v>7564</v>
      </c>
      <c r="D2" s="6">
        <v>7935</v>
      </c>
    </row>
    <row r="3" spans="1:4" x14ac:dyDescent="0.25">
      <c r="A3" s="1" t="s">
        <v>1</v>
      </c>
      <c r="B3" s="6">
        <v>3918</v>
      </c>
      <c r="C3" s="6">
        <v>4115</v>
      </c>
      <c r="D3" s="6">
        <v>4284</v>
      </c>
    </row>
    <row r="4" spans="1:4" x14ac:dyDescent="0.25">
      <c r="A4" s="9" t="s">
        <v>2</v>
      </c>
      <c r="B4" s="10">
        <v>3214</v>
      </c>
      <c r="C4" s="10">
        <v>3449</v>
      </c>
      <c r="D4" s="10">
        <v>3651</v>
      </c>
    </row>
    <row r="5" spans="1:4" x14ac:dyDescent="0.25">
      <c r="A5" s="1" t="s">
        <v>3</v>
      </c>
      <c r="B5" s="6">
        <v>1783</v>
      </c>
      <c r="C5" s="6">
        <v>1905</v>
      </c>
      <c r="D5" s="6">
        <v>1988</v>
      </c>
    </row>
    <row r="6" spans="1:4" x14ac:dyDescent="0.25">
      <c r="A6" s="1" t="s">
        <v>4</v>
      </c>
      <c r="B6" s="6">
        <v>1431</v>
      </c>
      <c r="C6" s="6">
        <v>1544</v>
      </c>
      <c r="D6" s="6">
        <v>1663</v>
      </c>
    </row>
    <row r="7" spans="1:4" x14ac:dyDescent="0.25">
      <c r="A7" s="9" t="s">
        <v>5</v>
      </c>
      <c r="B7" s="10">
        <v>0</v>
      </c>
      <c r="C7" s="10">
        <v>0</v>
      </c>
      <c r="D7" s="10">
        <v>0</v>
      </c>
    </row>
    <row r="8" spans="1:4" x14ac:dyDescent="0.25">
      <c r="A8" s="1" t="s">
        <v>6</v>
      </c>
      <c r="B8" s="6">
        <v>1431</v>
      </c>
      <c r="C8" s="6">
        <v>1544</v>
      </c>
      <c r="D8" s="6">
        <v>1663</v>
      </c>
    </row>
    <row r="9" spans="1:4" x14ac:dyDescent="0.25">
      <c r="A9" s="1" t="s">
        <v>7</v>
      </c>
      <c r="B9" s="6">
        <v>188</v>
      </c>
      <c r="C9" s="6">
        <v>192</v>
      </c>
      <c r="D9" s="6">
        <v>194</v>
      </c>
    </row>
    <row r="10" spans="1:4" ht="15.75" thickBot="1" x14ac:dyDescent="0.3">
      <c r="A10" s="11" t="s">
        <v>8</v>
      </c>
      <c r="B10" s="12">
        <v>301</v>
      </c>
      <c r="C10" s="12">
        <v>324</v>
      </c>
      <c r="D10" s="12">
        <v>349</v>
      </c>
    </row>
    <row r="11" spans="1:4" ht="15.75" thickTop="1" x14ac:dyDescent="0.25">
      <c r="A11" s="1" t="s">
        <v>9</v>
      </c>
      <c r="B11" s="6">
        <v>942</v>
      </c>
      <c r="C11" s="6">
        <v>1028</v>
      </c>
      <c r="D11" s="6">
        <v>1120</v>
      </c>
    </row>
    <row r="16" spans="1:4" x14ac:dyDescent="0.25">
      <c r="A16" s="1" t="s">
        <v>27</v>
      </c>
      <c r="B16" s="17">
        <f>B11/B2</f>
        <v>0.13208076275939429</v>
      </c>
      <c r="C16" s="17">
        <f>C11/C2</f>
        <v>0.13590692755156003</v>
      </c>
      <c r="D16" s="17">
        <f>D11/D2</f>
        <v>0.14114681789540012</v>
      </c>
    </row>
    <row r="17" spans="1:4" x14ac:dyDescent="0.25">
      <c r="A17" t="s">
        <v>29</v>
      </c>
      <c r="B17" s="17">
        <f>B4/B2</f>
        <v>0.45064498037016265</v>
      </c>
      <c r="C17" s="17">
        <f>C4/C2</f>
        <v>0.45597567424643048</v>
      </c>
      <c r="D17" s="17">
        <f>D4/D2</f>
        <v>0.46011342155009449</v>
      </c>
    </row>
    <row r="18" spans="1:4" x14ac:dyDescent="0.25">
      <c r="A18" t="s">
        <v>32</v>
      </c>
      <c r="B18" s="19">
        <f>B6/B2</f>
        <v>0.20064498037016265</v>
      </c>
      <c r="C18" s="19">
        <f>C6/C2</f>
        <v>0.20412480169222633</v>
      </c>
      <c r="D18" s="19">
        <f>D6/D2</f>
        <v>0.20957781978575929</v>
      </c>
    </row>
    <row r="19" spans="1:4" x14ac:dyDescent="0.25">
      <c r="A19" t="s">
        <v>34</v>
      </c>
      <c r="B19" s="19">
        <f>B8/B2</f>
        <v>0.20064498037016265</v>
      </c>
      <c r="C19" s="19">
        <f>C8/C2</f>
        <v>0.20412480169222633</v>
      </c>
      <c r="D19" s="19">
        <f>D8/D2</f>
        <v>0.20957781978575929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8A65-CA35-4198-B7DF-0E553F7B7A70}">
  <dimension ref="A1:D19"/>
  <sheetViews>
    <sheetView workbookViewId="0">
      <selection activeCell="A16" sqref="A15:D16"/>
    </sheetView>
  </sheetViews>
  <sheetFormatPr defaultRowHeight="15" x14ac:dyDescent="0.25"/>
  <cols>
    <col min="1" max="1" width="27" customWidth="1"/>
    <col min="2" max="2" width="27.7109375" customWidth="1"/>
    <col min="3" max="4" width="27.85546875" customWidth="1"/>
  </cols>
  <sheetData>
    <row r="1" spans="1:4" ht="15.75" thickBot="1" x14ac:dyDescent="0.3">
      <c r="A1" s="14" t="s">
        <v>22</v>
      </c>
      <c r="B1" s="13" t="s">
        <v>19</v>
      </c>
      <c r="C1" s="13" t="s">
        <v>20</v>
      </c>
      <c r="D1" s="13" t="s">
        <v>21</v>
      </c>
    </row>
    <row r="2" spans="1:4" x14ac:dyDescent="0.25">
      <c r="A2" s="1" t="s">
        <v>10</v>
      </c>
      <c r="B2" s="4">
        <v>1200</v>
      </c>
      <c r="C2" s="4">
        <v>1100</v>
      </c>
      <c r="D2" s="4">
        <v>1050</v>
      </c>
    </row>
    <row r="3" spans="1:4" x14ac:dyDescent="0.25">
      <c r="A3" s="1" t="s">
        <v>11</v>
      </c>
      <c r="B3" s="4">
        <v>750</v>
      </c>
      <c r="C3" s="4">
        <v>810</v>
      </c>
      <c r="D3" s="4">
        <v>860</v>
      </c>
    </row>
    <row r="4" spans="1:4" x14ac:dyDescent="0.25">
      <c r="A4" s="1" t="s">
        <v>12</v>
      </c>
      <c r="B4" s="4">
        <v>1100</v>
      </c>
      <c r="C4" s="4">
        <v>1180</v>
      </c>
      <c r="D4" s="4">
        <v>1250</v>
      </c>
    </row>
    <row r="5" spans="1:4" ht="15.75" thickBot="1" x14ac:dyDescent="0.3">
      <c r="A5" s="11" t="s">
        <v>13</v>
      </c>
      <c r="B5" s="12">
        <v>3400</v>
      </c>
      <c r="C5" s="12">
        <v>3550</v>
      </c>
      <c r="D5" s="12">
        <v>3700</v>
      </c>
    </row>
    <row r="6" spans="1:4" ht="15.75" thickTop="1" x14ac:dyDescent="0.25">
      <c r="A6" s="1" t="s">
        <v>17</v>
      </c>
      <c r="B6" s="6">
        <v>6450</v>
      </c>
      <c r="C6" s="6">
        <v>6640</v>
      </c>
      <c r="D6" s="6">
        <v>5020</v>
      </c>
    </row>
    <row r="7" spans="1:4" x14ac:dyDescent="0.25">
      <c r="A7" s="1"/>
      <c r="B7" s="6"/>
      <c r="C7" s="6"/>
      <c r="D7" s="6"/>
    </row>
    <row r="8" spans="1:4" x14ac:dyDescent="0.25">
      <c r="A8" s="1" t="s">
        <v>14</v>
      </c>
      <c r="B8" s="4">
        <v>900</v>
      </c>
      <c r="C8" s="4">
        <v>950</v>
      </c>
      <c r="D8" s="4">
        <v>980</v>
      </c>
    </row>
    <row r="9" spans="1:4" x14ac:dyDescent="0.25">
      <c r="A9" s="1" t="s">
        <v>15</v>
      </c>
      <c r="B9" s="4">
        <v>3000</v>
      </c>
      <c r="C9" s="4">
        <v>3200</v>
      </c>
      <c r="D9" s="4">
        <v>3400</v>
      </c>
    </row>
    <row r="10" spans="1:4" ht="15.75" thickBot="1" x14ac:dyDescent="0.3">
      <c r="A10" s="11" t="s">
        <v>16</v>
      </c>
      <c r="B10" s="12">
        <v>2550</v>
      </c>
      <c r="C10" s="12">
        <v>2490</v>
      </c>
      <c r="D10" s="12">
        <v>2480</v>
      </c>
    </row>
    <row r="11" spans="1:4" ht="15.75" thickTop="1" x14ac:dyDescent="0.25">
      <c r="A11" s="1" t="s">
        <v>18</v>
      </c>
      <c r="B11" s="6">
        <v>6450</v>
      </c>
      <c r="C11" s="6">
        <v>6640</v>
      </c>
      <c r="D11" s="6">
        <v>5020</v>
      </c>
    </row>
    <row r="14" spans="1:4" x14ac:dyDescent="0.25">
      <c r="A14" s="1" t="s">
        <v>35</v>
      </c>
      <c r="B14" s="18">
        <f>B2+B3+B4/B8</f>
        <v>1951.2222222222222</v>
      </c>
      <c r="C14" s="18">
        <f>C2+C3+C4/C8</f>
        <v>1911.2421052631578</v>
      </c>
      <c r="D14" s="18">
        <f>D2+D3+D4/D8</f>
        <v>1911.2755102040817</v>
      </c>
    </row>
    <row r="15" spans="1:4" x14ac:dyDescent="0.25">
      <c r="A15" s="1" t="s">
        <v>36</v>
      </c>
      <c r="B15" s="19">
        <f>B9/B10</f>
        <v>1.1764705882352942</v>
      </c>
      <c r="C15" s="19">
        <f>C9/C10</f>
        <v>1.285140562248996</v>
      </c>
      <c r="D15" s="19">
        <f>D9/D10</f>
        <v>1.3709677419354838</v>
      </c>
    </row>
    <row r="16" spans="1:4" x14ac:dyDescent="0.25">
      <c r="A16" s="1" t="s">
        <v>38</v>
      </c>
      <c r="B16" s="18">
        <f>B2+B3/B8</f>
        <v>1200.8333333333333</v>
      </c>
      <c r="C16" s="18">
        <f>C2+C3/C8</f>
        <v>1100.8526315789475</v>
      </c>
      <c r="D16" s="18">
        <f>D2+D3/D8</f>
        <v>1050.8775510204082</v>
      </c>
    </row>
    <row r="17" spans="1:4" x14ac:dyDescent="0.25">
      <c r="A17" s="1" t="s">
        <v>40</v>
      </c>
      <c r="B17" s="18">
        <f>B2+B3+B4-B8</f>
        <v>2150</v>
      </c>
      <c r="C17" s="18">
        <f>C2+C3+C4-C8</f>
        <v>2140</v>
      </c>
      <c r="D17" s="18">
        <f>D2+D3+D4-D8</f>
        <v>2180</v>
      </c>
    </row>
    <row r="18" spans="1:4" x14ac:dyDescent="0.25">
      <c r="A18" s="1" t="s">
        <v>41</v>
      </c>
      <c r="B18" s="19">
        <f>B9/B6</f>
        <v>0.46511627906976744</v>
      </c>
      <c r="C18" s="19">
        <f>C9/C6</f>
        <v>0.48192771084337349</v>
      </c>
      <c r="D18" s="19">
        <f>D9/D6</f>
        <v>0.67729083665338641</v>
      </c>
    </row>
    <row r="19" spans="1:4" x14ac:dyDescent="0.25">
      <c r="A19" s="1" t="s">
        <v>42</v>
      </c>
      <c r="B19" s="19">
        <f>B10/B6</f>
        <v>0.39534883720930231</v>
      </c>
      <c r="C19" s="19">
        <f>C10/C6</f>
        <v>0.375</v>
      </c>
      <c r="D19" s="19">
        <f>D10/D6</f>
        <v>0.49402390438247012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4" zoomScale="150" zoomScaleNormal="150" workbookViewId="0">
      <selection activeCell="F21" sqref="F21"/>
    </sheetView>
  </sheetViews>
  <sheetFormatPr defaultColWidth="8.85546875" defaultRowHeight="15" x14ac:dyDescent="0.25"/>
  <cols>
    <col min="1" max="4" width="20.85546875" customWidth="1"/>
  </cols>
  <sheetData>
    <row r="1" spans="1:4" ht="21" x14ac:dyDescent="0.35">
      <c r="A1" s="16" t="s">
        <v>24</v>
      </c>
      <c r="B1" s="16"/>
      <c r="C1" s="16"/>
      <c r="D1" s="16"/>
    </row>
    <row r="2" spans="1:4" x14ac:dyDescent="0.25">
      <c r="C2" s="1"/>
    </row>
    <row r="3" spans="1:4" ht="15.75" thickBot="1" x14ac:dyDescent="0.3">
      <c r="A3" s="15" t="s">
        <v>23</v>
      </c>
      <c r="B3" s="13" t="s">
        <v>19</v>
      </c>
      <c r="C3" s="13" t="s">
        <v>20</v>
      </c>
      <c r="D3" s="13" t="s">
        <v>21</v>
      </c>
    </row>
    <row r="4" spans="1:4" x14ac:dyDescent="0.25">
      <c r="A4" s="1" t="s">
        <v>0</v>
      </c>
      <c r="B4" s="6">
        <v>8220</v>
      </c>
      <c r="C4" s="6">
        <v>9286</v>
      </c>
      <c r="D4" s="6">
        <v>9845</v>
      </c>
    </row>
    <row r="5" spans="1:4" x14ac:dyDescent="0.25">
      <c r="A5" s="1" t="s">
        <v>1</v>
      </c>
      <c r="B5" s="6">
        <v>4721</v>
      </c>
      <c r="C5" s="6">
        <v>5287</v>
      </c>
      <c r="D5" s="6">
        <v>5648</v>
      </c>
    </row>
    <row r="6" spans="1:4" x14ac:dyDescent="0.25">
      <c r="A6" s="9" t="s">
        <v>2</v>
      </c>
      <c r="B6" s="10">
        <v>3499</v>
      </c>
      <c r="C6" s="10">
        <v>3999</v>
      </c>
      <c r="D6" s="10">
        <v>4197</v>
      </c>
    </row>
    <row r="7" spans="1:4" x14ac:dyDescent="0.25">
      <c r="A7" s="1" t="s">
        <v>3</v>
      </c>
      <c r="B7" s="6">
        <v>2025</v>
      </c>
      <c r="C7" s="6">
        <v>2614</v>
      </c>
      <c r="D7" s="6">
        <v>2676</v>
      </c>
    </row>
    <row r="8" spans="1:4" x14ac:dyDescent="0.25">
      <c r="A8" s="1" t="s">
        <v>4</v>
      </c>
      <c r="B8" s="6">
        <v>1474</v>
      </c>
      <c r="C8" s="6">
        <v>1385</v>
      </c>
      <c r="D8" s="6">
        <v>1518</v>
      </c>
    </row>
    <row r="9" spans="1:4" x14ac:dyDescent="0.25">
      <c r="A9" s="9" t="s">
        <v>5</v>
      </c>
      <c r="B9" s="10">
        <v>0</v>
      </c>
      <c r="C9" s="10">
        <v>54</v>
      </c>
      <c r="D9" s="10">
        <v>134</v>
      </c>
    </row>
    <row r="10" spans="1:4" x14ac:dyDescent="0.25">
      <c r="A10" s="1" t="s">
        <v>6</v>
      </c>
      <c r="B10" s="6">
        <v>1556</v>
      </c>
      <c r="C10" s="6">
        <v>1439</v>
      </c>
      <c r="D10" s="6">
        <v>1652</v>
      </c>
    </row>
    <row r="11" spans="1:4" x14ac:dyDescent="0.25">
      <c r="A11" s="1" t="s">
        <v>7</v>
      </c>
      <c r="B11" s="6">
        <v>199</v>
      </c>
      <c r="C11" s="6">
        <v>287</v>
      </c>
      <c r="D11" s="6">
        <v>305</v>
      </c>
    </row>
    <row r="12" spans="1:4" ht="15.75" thickBot="1" x14ac:dyDescent="0.3">
      <c r="A12" s="11" t="s">
        <v>8</v>
      </c>
      <c r="B12" s="12">
        <v>370</v>
      </c>
      <c r="C12" s="12">
        <v>340</v>
      </c>
      <c r="D12" s="12">
        <v>387</v>
      </c>
    </row>
    <row r="13" spans="1:4" ht="15.75" thickTop="1" x14ac:dyDescent="0.25">
      <c r="A13" s="1" t="s">
        <v>9</v>
      </c>
      <c r="B13" s="6">
        <v>941</v>
      </c>
      <c r="C13" s="6">
        <v>812</v>
      </c>
      <c r="D13" s="6">
        <v>960</v>
      </c>
    </row>
    <row r="14" spans="1:4" x14ac:dyDescent="0.25">
      <c r="A14" s="1"/>
    </row>
    <row r="15" spans="1:4" x14ac:dyDescent="0.25">
      <c r="A15" s="1"/>
      <c r="C15" s="1"/>
    </row>
    <row r="16" spans="1:4" ht="15.75" thickBot="1" x14ac:dyDescent="0.3">
      <c r="A16" s="14" t="s">
        <v>22</v>
      </c>
      <c r="B16" s="13" t="s">
        <v>19</v>
      </c>
      <c r="C16" s="13" t="s">
        <v>20</v>
      </c>
      <c r="D16" s="13" t="s">
        <v>21</v>
      </c>
    </row>
    <row r="17" spans="1:4" x14ac:dyDescent="0.25">
      <c r="A17" s="1" t="s">
        <v>10</v>
      </c>
      <c r="B17" s="4">
        <v>2000</v>
      </c>
      <c r="C17" s="4">
        <v>1250</v>
      </c>
      <c r="D17" s="4">
        <v>1100</v>
      </c>
    </row>
    <row r="18" spans="1:4" x14ac:dyDescent="0.25">
      <c r="A18" s="1" t="s">
        <v>11</v>
      </c>
      <c r="B18" s="4">
        <v>1100</v>
      </c>
      <c r="C18" s="4">
        <v>1900</v>
      </c>
      <c r="D18" s="4">
        <v>2750</v>
      </c>
    </row>
    <row r="19" spans="1:4" x14ac:dyDescent="0.25">
      <c r="A19" s="1" t="s">
        <v>12</v>
      </c>
      <c r="B19" s="4">
        <v>1600</v>
      </c>
      <c r="C19" s="4">
        <v>1850</v>
      </c>
      <c r="D19" s="4">
        <v>2250</v>
      </c>
    </row>
    <row r="20" spans="1:4" ht="15.75" thickBot="1" x14ac:dyDescent="0.3">
      <c r="A20" s="11" t="s">
        <v>13</v>
      </c>
      <c r="B20" s="12">
        <v>4600</v>
      </c>
      <c r="C20" s="12">
        <v>4700</v>
      </c>
      <c r="D20" s="12">
        <v>4950</v>
      </c>
    </row>
    <row r="21" spans="1:4" ht="15.75" thickTop="1" x14ac:dyDescent="0.25">
      <c r="A21" s="1" t="s">
        <v>17</v>
      </c>
      <c r="B21" s="6">
        <v>9300</v>
      </c>
      <c r="C21" s="6">
        <v>9700</v>
      </c>
      <c r="D21" s="6">
        <v>11050</v>
      </c>
    </row>
    <row r="22" spans="1:4" x14ac:dyDescent="0.25">
      <c r="A22" s="1"/>
      <c r="B22" s="6"/>
      <c r="C22" s="6"/>
      <c r="D22" s="6"/>
    </row>
    <row r="23" spans="1:4" x14ac:dyDescent="0.25">
      <c r="A23" s="1" t="s">
        <v>14</v>
      </c>
      <c r="B23" s="4">
        <v>1200</v>
      </c>
      <c r="C23" s="4">
        <v>1450</v>
      </c>
      <c r="D23" s="4">
        <v>1700</v>
      </c>
    </row>
    <row r="24" spans="1:4" x14ac:dyDescent="0.25">
      <c r="A24" s="1" t="s">
        <v>15</v>
      </c>
      <c r="B24" s="4">
        <v>4700</v>
      </c>
      <c r="C24" s="4">
        <v>4800</v>
      </c>
      <c r="D24" s="4">
        <v>5600</v>
      </c>
    </row>
    <row r="25" spans="1:4" ht="15.75" thickBot="1" x14ac:dyDescent="0.3">
      <c r="A25" s="11" t="s">
        <v>16</v>
      </c>
      <c r="B25" s="12">
        <v>3400</v>
      </c>
      <c r="C25" s="12">
        <v>3450</v>
      </c>
      <c r="D25" s="12">
        <v>3750</v>
      </c>
    </row>
    <row r="26" spans="1:4" ht="15.75" thickTop="1" x14ac:dyDescent="0.25">
      <c r="A26" s="1" t="s">
        <v>18</v>
      </c>
      <c r="B26" s="6">
        <v>9300</v>
      </c>
      <c r="C26" s="6">
        <v>9700</v>
      </c>
      <c r="D26" s="6">
        <v>11050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55EF-908C-4BC0-9182-A1A7264B6FF7}">
  <dimension ref="A2:D18"/>
  <sheetViews>
    <sheetView workbookViewId="0">
      <selection activeCell="A16" sqref="A16:D17"/>
    </sheetView>
  </sheetViews>
  <sheetFormatPr defaultRowHeight="15" x14ac:dyDescent="0.25"/>
  <cols>
    <col min="1" max="1" width="28.140625" customWidth="1"/>
    <col min="2" max="2" width="29.42578125" customWidth="1"/>
    <col min="3" max="3" width="27.42578125" customWidth="1"/>
    <col min="4" max="4" width="27.5703125" customWidth="1"/>
  </cols>
  <sheetData>
    <row r="2" spans="1:4" ht="15.75" thickBot="1" x14ac:dyDescent="0.3">
      <c r="A2" s="15" t="s">
        <v>23</v>
      </c>
      <c r="B2" s="13" t="s">
        <v>19</v>
      </c>
      <c r="C2" s="13" t="s">
        <v>20</v>
      </c>
      <c r="D2" s="13" t="s">
        <v>21</v>
      </c>
    </row>
    <row r="3" spans="1:4" x14ac:dyDescent="0.25">
      <c r="A3" s="1" t="s">
        <v>0</v>
      </c>
      <c r="B3" s="6">
        <v>8220</v>
      </c>
      <c r="C3" s="6">
        <v>9286</v>
      </c>
      <c r="D3" s="6">
        <v>9845</v>
      </c>
    </row>
    <row r="4" spans="1:4" x14ac:dyDescent="0.25">
      <c r="A4" s="1" t="s">
        <v>1</v>
      </c>
      <c r="B4" s="6">
        <v>4721</v>
      </c>
      <c r="C4" s="6">
        <v>5287</v>
      </c>
      <c r="D4" s="6">
        <v>5648</v>
      </c>
    </row>
    <row r="5" spans="1:4" x14ac:dyDescent="0.25">
      <c r="A5" s="9" t="s">
        <v>2</v>
      </c>
      <c r="B5" s="10">
        <v>3499</v>
      </c>
      <c r="C5" s="10">
        <v>3999</v>
      </c>
      <c r="D5" s="10">
        <v>4197</v>
      </c>
    </row>
    <row r="6" spans="1:4" x14ac:dyDescent="0.25">
      <c r="A6" s="1" t="s">
        <v>3</v>
      </c>
      <c r="B6" s="6">
        <v>2025</v>
      </c>
      <c r="C6" s="6">
        <v>2614</v>
      </c>
      <c r="D6" s="6">
        <v>2676</v>
      </c>
    </row>
    <row r="7" spans="1:4" x14ac:dyDescent="0.25">
      <c r="A7" s="1" t="s">
        <v>4</v>
      </c>
      <c r="B7" s="6">
        <v>1474</v>
      </c>
      <c r="C7" s="6">
        <v>1385</v>
      </c>
      <c r="D7" s="6">
        <v>1518</v>
      </c>
    </row>
    <row r="8" spans="1:4" x14ac:dyDescent="0.25">
      <c r="A8" s="9" t="s">
        <v>5</v>
      </c>
      <c r="B8" s="10">
        <v>0</v>
      </c>
      <c r="C8" s="10">
        <v>54</v>
      </c>
      <c r="D8" s="10">
        <v>134</v>
      </c>
    </row>
    <row r="9" spans="1:4" x14ac:dyDescent="0.25">
      <c r="A9" s="1" t="s">
        <v>6</v>
      </c>
      <c r="B9" s="6">
        <v>1556</v>
      </c>
      <c r="C9" s="6">
        <v>1439</v>
      </c>
      <c r="D9" s="6">
        <v>1652</v>
      </c>
    </row>
    <row r="10" spans="1:4" x14ac:dyDescent="0.25">
      <c r="A10" s="1" t="s">
        <v>7</v>
      </c>
      <c r="B10" s="6">
        <v>199</v>
      </c>
      <c r="C10" s="6">
        <v>287</v>
      </c>
      <c r="D10" s="6">
        <v>305</v>
      </c>
    </row>
    <row r="11" spans="1:4" ht="15.75" thickBot="1" x14ac:dyDescent="0.3">
      <c r="A11" s="11" t="s">
        <v>8</v>
      </c>
      <c r="B11" s="12">
        <v>370</v>
      </c>
      <c r="C11" s="12">
        <v>340</v>
      </c>
      <c r="D11" s="12">
        <v>387</v>
      </c>
    </row>
    <row r="12" spans="1:4" ht="15.75" thickTop="1" x14ac:dyDescent="0.25">
      <c r="A12" s="1" t="s">
        <v>9</v>
      </c>
      <c r="B12" s="6">
        <v>941</v>
      </c>
      <c r="C12" s="6">
        <v>812</v>
      </c>
      <c r="D12" s="6">
        <v>960</v>
      </c>
    </row>
    <row r="15" spans="1:4" x14ac:dyDescent="0.25">
      <c r="A15" s="1" t="s">
        <v>27</v>
      </c>
      <c r="B15" s="17">
        <f>B12/B3</f>
        <v>0.11447688564476885</v>
      </c>
      <c r="C15" s="17">
        <f>C12/C3</f>
        <v>8.7443463278052982E-2</v>
      </c>
      <c r="D15" s="17">
        <f>D12/D3</f>
        <v>9.7511427120365674E-2</v>
      </c>
    </row>
    <row r="16" spans="1:4" x14ac:dyDescent="0.25">
      <c r="A16" s="1" t="s">
        <v>30</v>
      </c>
      <c r="B16" s="17">
        <f>B5/B3</f>
        <v>0.42566909975669098</v>
      </c>
      <c r="C16" s="17">
        <f>C5/C3</f>
        <v>0.43064828774499248</v>
      </c>
      <c r="D16" s="17">
        <f>D5/D3</f>
        <v>0.42630777044184864</v>
      </c>
    </row>
    <row r="17" spans="1:4" x14ac:dyDescent="0.25">
      <c r="A17" s="1" t="s">
        <v>33</v>
      </c>
      <c r="B17" s="19">
        <f>B7/B3</f>
        <v>0.17931873479318736</v>
      </c>
      <c r="C17" s="19">
        <f>C7/C3</f>
        <v>0.14914925694594011</v>
      </c>
      <c r="D17" s="19">
        <f>D7/D3</f>
        <v>0.15418994413407822</v>
      </c>
    </row>
    <row r="18" spans="1:4" x14ac:dyDescent="0.25">
      <c r="A18" t="s">
        <v>34</v>
      </c>
      <c r="B18" s="19">
        <f>B9/B3</f>
        <v>0.18929440389294405</v>
      </c>
      <c r="C18" s="19">
        <f>C9/C3</f>
        <v>0.15496446263191901</v>
      </c>
      <c r="D18" s="19">
        <f>D9/D3</f>
        <v>0.16780091416962925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BEF4-EF1F-436D-9749-98BF4C4CB876}">
  <dimension ref="A1:D19"/>
  <sheetViews>
    <sheetView workbookViewId="0">
      <selection activeCell="G18" sqref="G18"/>
    </sheetView>
  </sheetViews>
  <sheetFormatPr defaultRowHeight="15" x14ac:dyDescent="0.25"/>
  <cols>
    <col min="1" max="1" width="27.28515625" customWidth="1"/>
    <col min="2" max="2" width="28" customWidth="1"/>
    <col min="3" max="3" width="29.140625" customWidth="1"/>
    <col min="4" max="4" width="33.28515625" customWidth="1"/>
  </cols>
  <sheetData>
    <row r="1" spans="1:4" ht="15.75" thickBot="1" x14ac:dyDescent="0.3">
      <c r="A1" s="14" t="s">
        <v>22</v>
      </c>
      <c r="B1" s="13" t="s">
        <v>19</v>
      </c>
      <c r="C1" s="13" t="s">
        <v>20</v>
      </c>
      <c r="D1" s="13" t="s">
        <v>21</v>
      </c>
    </row>
    <row r="2" spans="1:4" x14ac:dyDescent="0.25">
      <c r="A2" s="1" t="s">
        <v>10</v>
      </c>
      <c r="B2" s="4">
        <v>2000</v>
      </c>
      <c r="C2" s="4">
        <v>1250</v>
      </c>
      <c r="D2" s="4">
        <v>1100</v>
      </c>
    </row>
    <row r="3" spans="1:4" x14ac:dyDescent="0.25">
      <c r="A3" s="1" t="s">
        <v>11</v>
      </c>
      <c r="B3" s="4">
        <v>1100</v>
      </c>
      <c r="C3" s="4">
        <v>1900</v>
      </c>
      <c r="D3" s="4">
        <v>2750</v>
      </c>
    </row>
    <row r="4" spans="1:4" x14ac:dyDescent="0.25">
      <c r="A4" s="1" t="s">
        <v>12</v>
      </c>
      <c r="B4" s="4">
        <v>1600</v>
      </c>
      <c r="C4" s="4">
        <v>1850</v>
      </c>
      <c r="D4" s="4">
        <v>2250</v>
      </c>
    </row>
    <row r="5" spans="1:4" ht="15.75" thickBot="1" x14ac:dyDescent="0.3">
      <c r="A5" s="11" t="s">
        <v>13</v>
      </c>
      <c r="B5" s="12">
        <v>4600</v>
      </c>
      <c r="C5" s="12">
        <v>4700</v>
      </c>
      <c r="D5" s="12">
        <v>4950</v>
      </c>
    </row>
    <row r="6" spans="1:4" ht="15.75" thickTop="1" x14ac:dyDescent="0.25">
      <c r="A6" s="1" t="s">
        <v>17</v>
      </c>
      <c r="B6" s="6">
        <v>9300</v>
      </c>
      <c r="C6" s="6">
        <v>9700</v>
      </c>
      <c r="D6" s="6">
        <v>11050</v>
      </c>
    </row>
    <row r="7" spans="1:4" x14ac:dyDescent="0.25">
      <c r="A7" s="1"/>
      <c r="B7" s="6"/>
      <c r="C7" s="6"/>
      <c r="D7" s="6"/>
    </row>
    <row r="8" spans="1:4" x14ac:dyDescent="0.25">
      <c r="A8" s="1" t="s">
        <v>14</v>
      </c>
      <c r="B8" s="4">
        <v>1200</v>
      </c>
      <c r="C8" s="4">
        <v>1450</v>
      </c>
      <c r="D8" s="4">
        <v>1700</v>
      </c>
    </row>
    <row r="9" spans="1:4" x14ac:dyDescent="0.25">
      <c r="A9" s="1" t="s">
        <v>15</v>
      </c>
      <c r="B9" s="4">
        <v>4700</v>
      </c>
      <c r="C9" s="4">
        <v>4800</v>
      </c>
      <c r="D9" s="4">
        <v>5600</v>
      </c>
    </row>
    <row r="10" spans="1:4" ht="15.75" thickBot="1" x14ac:dyDescent="0.3">
      <c r="A10" s="11" t="s">
        <v>16</v>
      </c>
      <c r="B10" s="12">
        <v>3400</v>
      </c>
      <c r="C10" s="12">
        <v>3450</v>
      </c>
      <c r="D10" s="12">
        <v>3750</v>
      </c>
    </row>
    <row r="11" spans="1:4" ht="15.75" thickTop="1" x14ac:dyDescent="0.25">
      <c r="A11" s="1" t="s">
        <v>18</v>
      </c>
      <c r="B11" s="6">
        <v>9300</v>
      </c>
      <c r="C11" s="6">
        <v>9700</v>
      </c>
      <c r="D11" s="6">
        <v>11050</v>
      </c>
    </row>
    <row r="14" spans="1:4" x14ac:dyDescent="0.25">
      <c r="A14" s="1" t="s">
        <v>35</v>
      </c>
      <c r="B14" s="18">
        <f>B2+B3+B4/B8</f>
        <v>3101.3333333333335</v>
      </c>
      <c r="C14" s="18">
        <f>C2+C3+C4/C8</f>
        <v>3151.2758620689656</v>
      </c>
      <c r="D14" s="18">
        <f>D2+D3+D4/D8</f>
        <v>3851.3235294117649</v>
      </c>
    </row>
    <row r="15" spans="1:4" x14ac:dyDescent="0.25">
      <c r="A15" s="1" t="s">
        <v>36</v>
      </c>
      <c r="B15" s="19">
        <f>B9/B10</f>
        <v>1.3823529411764706</v>
      </c>
      <c r="C15" s="19">
        <f>C9/C10</f>
        <v>1.3913043478260869</v>
      </c>
      <c r="D15" s="19">
        <f>D9/D10</f>
        <v>1.4933333333333334</v>
      </c>
    </row>
    <row r="16" spans="1:4" x14ac:dyDescent="0.25">
      <c r="A16" s="1" t="s">
        <v>39</v>
      </c>
      <c r="B16" s="18">
        <f>B2+B3/B8</f>
        <v>2000.9166666666667</v>
      </c>
      <c r="C16" s="18">
        <f>C2+C3/C8</f>
        <v>1251.3103448275863</v>
      </c>
      <c r="D16" s="18">
        <f>D2+D3/D8</f>
        <v>1101.6176470588234</v>
      </c>
    </row>
    <row r="17" spans="1:4" x14ac:dyDescent="0.25">
      <c r="A17" s="1" t="s">
        <v>40</v>
      </c>
      <c r="B17" s="18">
        <f>B2+B3+B4-B8</f>
        <v>3500</v>
      </c>
      <c r="C17" s="18">
        <f>C2+C3+C4-C8</f>
        <v>3550</v>
      </c>
      <c r="D17" s="18">
        <f>D2+D3+D4-D8</f>
        <v>4400</v>
      </c>
    </row>
    <row r="18" spans="1:4" x14ac:dyDescent="0.25">
      <c r="A18" s="1" t="s">
        <v>41</v>
      </c>
      <c r="B18" s="19">
        <f>B9/B6</f>
        <v>0.5053763440860215</v>
      </c>
      <c r="C18" s="19">
        <f>C9/C6</f>
        <v>0.49484536082474229</v>
      </c>
      <c r="D18" s="19">
        <f>D9/D6</f>
        <v>0.50678733031674206</v>
      </c>
    </row>
    <row r="19" spans="1:4" x14ac:dyDescent="0.25">
      <c r="A19" s="1" t="s">
        <v>42</v>
      </c>
      <c r="B19" s="19">
        <f>B10/B6</f>
        <v>0.36559139784946237</v>
      </c>
      <c r="C19" s="19">
        <f>C10/C6</f>
        <v>0.35567010309278352</v>
      </c>
      <c r="D19" s="19">
        <f>D10/D6</f>
        <v>0.33936651583710409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Company X</vt:lpstr>
      <vt:lpstr>Company X Income Sheet</vt:lpstr>
      <vt:lpstr>Company X Balance Sheet</vt:lpstr>
      <vt:lpstr>Company Y</vt:lpstr>
      <vt:lpstr>Company Y Income Sheet</vt:lpstr>
      <vt:lpstr>Company Y Balance Sheet </vt:lpstr>
      <vt:lpstr>Company Z</vt:lpstr>
      <vt:lpstr>Company Z Income Sheet </vt:lpstr>
      <vt:lpstr>Company Z Balance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ACER</cp:lastModifiedBy>
  <dcterms:created xsi:type="dcterms:W3CDTF">2025-09-05T19:42:14Z</dcterms:created>
  <dcterms:modified xsi:type="dcterms:W3CDTF">2026-10-02T16:20:10Z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2025-09-05T20:11:11Z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5d5d0cd7-1c1d-4c53-9a33-ace17a6f58bf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